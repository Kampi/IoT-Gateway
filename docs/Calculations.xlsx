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kampert\Downloads\IoT-Gateway\docs\"/>
    </mc:Choice>
  </mc:AlternateContent>
  <xr:revisionPtr revIDLastSave="0" documentId="13_ncr:1_{21B37236-9DD9-47E9-8ED5-DD9C5B783659}" xr6:coauthVersionLast="47" xr6:coauthVersionMax="47" xr10:uidLastSave="{00000000-0000-0000-0000-000000000000}"/>
  <bookViews>
    <workbookView xWindow="-120" yWindow="-120" windowWidth="29040" windowHeight="15720" xr2:uid="{7EB2DE25-7649-4099-9EF9-6C4DFE81B1D0}"/>
  </bookViews>
  <sheets>
    <sheet name="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9" i="1" l="1"/>
  <c r="J17" i="1"/>
  <c r="J23" i="1"/>
  <c r="J22" i="1"/>
  <c r="J13" i="1"/>
  <c r="J12" i="1"/>
  <c r="J11" i="1"/>
  <c r="J10" i="1"/>
  <c r="J9" i="1"/>
  <c r="M9" i="1" s="1"/>
  <c r="I21" i="1" s="1"/>
  <c r="J21" i="1" s="1"/>
  <c r="M21" i="1" s="1"/>
  <c r="I27" i="1" s="1"/>
  <c r="J27" i="1" s="1"/>
  <c r="D7" i="1"/>
  <c r="B3" i="1"/>
  <c r="M17" i="1" l="1"/>
  <c r="I28" i="1" s="1"/>
  <c r="J28" i="1" s="1"/>
  <c r="M27" i="1" l="1"/>
</calcChain>
</file>

<file path=xl/sharedStrings.xml><?xml version="1.0" encoding="utf-8"?>
<sst xmlns="http://schemas.openxmlformats.org/spreadsheetml/2006/main" count="41" uniqueCount="26">
  <si>
    <t>R</t>
  </si>
  <si>
    <t>I</t>
  </si>
  <si>
    <t>Vin</t>
  </si>
  <si>
    <t>OV</t>
  </si>
  <si>
    <t>R2</t>
  </si>
  <si>
    <t>R1</t>
  </si>
  <si>
    <t>wM-Bus</t>
  </si>
  <si>
    <t>Current (mA)</t>
  </si>
  <si>
    <t>Thread</t>
  </si>
  <si>
    <t>Zigbee</t>
  </si>
  <si>
    <t>LoRa</t>
  </si>
  <si>
    <t>Peripherals</t>
  </si>
  <si>
    <t>Voltage (V)</t>
  </si>
  <si>
    <t>Power (mW)</t>
  </si>
  <si>
    <t>Area</t>
  </si>
  <si>
    <t>Overall (mW)</t>
  </si>
  <si>
    <t>3V3 Rail</t>
  </si>
  <si>
    <t>Verdin iMX8MM</t>
  </si>
  <si>
    <t>Ext. Peripherals</t>
  </si>
  <si>
    <t>Power Overview</t>
  </si>
  <si>
    <t>5V Rail</t>
  </si>
  <si>
    <t>SSD</t>
  </si>
  <si>
    <t>SSD Rail</t>
  </si>
  <si>
    <t>Battery charge</t>
  </si>
  <si>
    <t>MUX Overcurrent</t>
  </si>
  <si>
    <t>MUX Overvoltage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</si>
</sst>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C518-1C98-40C9-993F-FDAA23F221B4}">
  <dimension ref="A1:M29"/>
  <sheetViews>
    <sheetView tabSelected="1" workbookViewId="0">
      <selection activeCell="Q21" sqref="Q21"/>
    </sheetView>
  </sheetViews>
  <sheetFormatPr baseColWidth="10" defaultRowHeight="15" x14ac:dyDescent="0.25"/>
  <cols>
    <col min="1" max="7" width="11.42578125" style="2"/>
    <col min="8" max="8" width="12.85546875" style="2" bestFit="1" customWidth="1"/>
    <col min="9" max="9" width="11.42578125" style="2"/>
    <col min="10" max="10" width="13.5703125" style="2" bestFit="1" customWidth="1"/>
    <col min="11" max="11" width="14.5703125" style="2" bestFit="1" customWidth="1"/>
    <col min="12" max="12" width="11.42578125" style="2"/>
    <col min="13" max="13" width="12.5703125" style="2" bestFit="1" customWidth="1"/>
    <col min="14" max="16384" width="11.42578125" style="2"/>
  </cols>
  <sheetData>
    <row r="1" spans="1:13" s="2" customFormat="1" x14ac:dyDescent="0.25">
      <c r="A1" s="1" t="s">
        <v>24</v>
      </c>
      <c r="B1" s="1"/>
    </row>
    <row r="2" spans="1:13" s="2" customFormat="1" x14ac:dyDescent="0.25">
      <c r="A2" s="2" t="s">
        <v>0</v>
      </c>
      <c r="B2" s="2" t="s">
        <v>1</v>
      </c>
    </row>
    <row r="3" spans="1:13" s="2" customFormat="1" x14ac:dyDescent="0.25">
      <c r="A3" s="2">
        <v>33</v>
      </c>
      <c r="B3" s="2">
        <f>69.1/(A3^0.861)</f>
        <v>3.4043761956003102</v>
      </c>
    </row>
    <row r="5" spans="1:13" s="2" customFormat="1" x14ac:dyDescent="0.25">
      <c r="A5" s="1" t="s">
        <v>25</v>
      </c>
      <c r="B5" s="1"/>
      <c r="C5" s="1"/>
      <c r="D5" s="1"/>
    </row>
    <row r="6" spans="1:13" s="2" customFormat="1" x14ac:dyDescent="0.25">
      <c r="A6" s="2" t="s">
        <v>5</v>
      </c>
      <c r="B6" s="2" t="s">
        <v>4</v>
      </c>
      <c r="C6" s="2" t="s">
        <v>2</v>
      </c>
      <c r="D6" s="2" t="s">
        <v>3</v>
      </c>
    </row>
    <row r="7" spans="1:13" s="2" customFormat="1" x14ac:dyDescent="0.25">
      <c r="A7" s="2">
        <v>30</v>
      </c>
      <c r="B7" s="2">
        <v>2</v>
      </c>
      <c r="C7" s="2">
        <v>16.899999999999999</v>
      </c>
      <c r="D7" s="2">
        <f>C7*(B7/(A7+B7))</f>
        <v>1.0562499999999999</v>
      </c>
      <c r="H7" s="1" t="s">
        <v>19</v>
      </c>
      <c r="I7" s="1"/>
      <c r="J7" s="1"/>
      <c r="K7" s="1"/>
    </row>
    <row r="8" spans="1:13" s="2" customFormat="1" x14ac:dyDescent="0.25">
      <c r="H8" s="2" t="s">
        <v>12</v>
      </c>
      <c r="I8" s="2" t="s">
        <v>7</v>
      </c>
      <c r="J8" s="2" t="s">
        <v>13</v>
      </c>
      <c r="K8" s="2" t="s">
        <v>14</v>
      </c>
      <c r="M8" s="2" t="s">
        <v>15</v>
      </c>
    </row>
    <row r="9" spans="1:13" s="2" customFormat="1" x14ac:dyDescent="0.25">
      <c r="H9" s="2">
        <v>3.3</v>
      </c>
      <c r="I9" s="2">
        <v>700</v>
      </c>
      <c r="J9" s="2">
        <f>H9*I9</f>
        <v>2310</v>
      </c>
      <c r="K9" s="2" t="s">
        <v>10</v>
      </c>
      <c r="M9" s="2">
        <f>SUM(J9:J13)</f>
        <v>7590</v>
      </c>
    </row>
    <row r="10" spans="1:13" s="2" customFormat="1" x14ac:dyDescent="0.25">
      <c r="H10" s="2">
        <v>3.3</v>
      </c>
      <c r="I10" s="2">
        <v>200</v>
      </c>
      <c r="J10" s="2">
        <f>H10*I10</f>
        <v>660</v>
      </c>
      <c r="K10" s="2" t="s">
        <v>9</v>
      </c>
    </row>
    <row r="11" spans="1:13" s="2" customFormat="1" x14ac:dyDescent="0.25">
      <c r="H11" s="2">
        <v>3.3</v>
      </c>
      <c r="I11" s="2">
        <v>200</v>
      </c>
      <c r="J11" s="2">
        <f>H11*I11</f>
        <v>660</v>
      </c>
      <c r="K11" s="2" t="s">
        <v>8</v>
      </c>
    </row>
    <row r="12" spans="1:13" s="2" customFormat="1" x14ac:dyDescent="0.25">
      <c r="H12" s="2">
        <v>3.3</v>
      </c>
      <c r="I12" s="2">
        <v>200</v>
      </c>
      <c r="J12" s="2">
        <f>H12*I12</f>
        <v>660</v>
      </c>
      <c r="K12" s="2" t="s">
        <v>6</v>
      </c>
    </row>
    <row r="13" spans="1:13" s="2" customFormat="1" x14ac:dyDescent="0.25">
      <c r="H13" s="2">
        <v>3.3</v>
      </c>
      <c r="I13" s="2">
        <v>1000</v>
      </c>
      <c r="J13" s="2">
        <f>H13*I13</f>
        <v>3300</v>
      </c>
      <c r="K13" s="2" t="s">
        <v>11</v>
      </c>
    </row>
    <row r="16" spans="1:13" s="2" customFormat="1" x14ac:dyDescent="0.25">
      <c r="H16" s="2" t="s">
        <v>12</v>
      </c>
      <c r="I16" s="2" t="s">
        <v>7</v>
      </c>
      <c r="J16" s="2" t="s">
        <v>13</v>
      </c>
      <c r="K16" s="2" t="s">
        <v>14</v>
      </c>
      <c r="M16" s="2" t="s">
        <v>15</v>
      </c>
    </row>
    <row r="17" spans="8:13" s="2" customFormat="1" x14ac:dyDescent="0.25">
      <c r="H17" s="2">
        <v>3.3</v>
      </c>
      <c r="I17" s="2">
        <v>3000</v>
      </c>
      <c r="J17" s="2">
        <f>H17*I17</f>
        <v>9900</v>
      </c>
      <c r="K17" s="2" t="s">
        <v>21</v>
      </c>
      <c r="M17" s="2">
        <f>SUM(J17:J19)</f>
        <v>9900</v>
      </c>
    </row>
    <row r="20" spans="8:13" s="2" customFormat="1" x14ac:dyDescent="0.25">
      <c r="H20" s="2" t="s">
        <v>12</v>
      </c>
      <c r="I20" s="2" t="s">
        <v>7</v>
      </c>
      <c r="J20" s="2" t="s">
        <v>13</v>
      </c>
      <c r="K20" s="2" t="s">
        <v>14</v>
      </c>
      <c r="M20" s="2" t="s">
        <v>15</v>
      </c>
    </row>
    <row r="21" spans="8:13" s="2" customFormat="1" x14ac:dyDescent="0.25">
      <c r="H21" s="2">
        <v>5</v>
      </c>
      <c r="I21" s="2">
        <f>M9/H21</f>
        <v>1518</v>
      </c>
      <c r="J21" s="2">
        <f>H21*I21</f>
        <v>7590</v>
      </c>
      <c r="K21" s="2" t="s">
        <v>16</v>
      </c>
      <c r="M21" s="2">
        <f>SUM(J21:J23)</f>
        <v>17590</v>
      </c>
    </row>
    <row r="22" spans="8:13" s="2" customFormat="1" x14ac:dyDescent="0.25">
      <c r="H22" s="2">
        <v>5</v>
      </c>
      <c r="I22" s="2">
        <v>1500</v>
      </c>
      <c r="J22" s="2">
        <f>H22*I22</f>
        <v>7500</v>
      </c>
      <c r="K22" s="2" t="s">
        <v>17</v>
      </c>
    </row>
    <row r="23" spans="8:13" s="2" customFormat="1" x14ac:dyDescent="0.25">
      <c r="H23" s="2">
        <v>5</v>
      </c>
      <c r="I23" s="2">
        <v>500</v>
      </c>
      <c r="J23" s="2">
        <f>H23*I23</f>
        <v>2500</v>
      </c>
      <c r="K23" s="2" t="s">
        <v>18</v>
      </c>
    </row>
    <row r="26" spans="8:13" s="2" customFormat="1" x14ac:dyDescent="0.25">
      <c r="H26" s="2" t="s">
        <v>12</v>
      </c>
      <c r="I26" s="2" t="s">
        <v>7</v>
      </c>
      <c r="J26" s="2" t="s">
        <v>13</v>
      </c>
      <c r="K26" s="2" t="s">
        <v>14</v>
      </c>
      <c r="M26" s="2" t="s">
        <v>15</v>
      </c>
    </row>
    <row r="27" spans="8:13" s="2" customFormat="1" x14ac:dyDescent="0.25">
      <c r="H27" s="2">
        <v>12</v>
      </c>
      <c r="I27" s="2">
        <f>M21/H27</f>
        <v>1465.8333333333333</v>
      </c>
      <c r="J27" s="2">
        <f>H27*I27</f>
        <v>17590</v>
      </c>
      <c r="K27" s="2" t="s">
        <v>20</v>
      </c>
      <c r="M27" s="2">
        <f>SUM(I27:I29)</f>
        <v>3032.833333333333</v>
      </c>
    </row>
    <row r="28" spans="8:13" s="2" customFormat="1" x14ac:dyDescent="0.25">
      <c r="H28" s="2">
        <v>12</v>
      </c>
      <c r="I28" s="2">
        <f>M17/H28</f>
        <v>825</v>
      </c>
      <c r="J28" s="2">
        <f>H28*I28</f>
        <v>9900</v>
      </c>
      <c r="K28" s="2" t="s">
        <v>22</v>
      </c>
    </row>
    <row r="29" spans="8:13" s="2" customFormat="1" x14ac:dyDescent="0.25">
      <c r="H29" s="2">
        <v>12</v>
      </c>
      <c r="I29" s="2">
        <v>742</v>
      </c>
      <c r="J29" s="2">
        <f>H29*I29</f>
        <v>8904</v>
      </c>
      <c r="K29" s="2" t="s">
        <v>23</v>
      </c>
    </row>
  </sheetData>
  <mergeCells count="3">
    <mergeCell ref="H7:K7"/>
    <mergeCell ref="A1:B1"/>
    <mergeCell ref="A5:D5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Calculations</vt:lpstr>
    </vt:vector>
  </TitlesOfParts>
  <Company>ETO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Kampert, Daniel</dc:creator>
  <cp:lastModifiedBy>Kampert, Daniel</cp:lastModifiedBy>
  <dcterms:created xsi:type="dcterms:W3CDTF">2026-07-20T06:40:49Z</dcterms:created>
  <dcterms:modified xsi:type="dcterms:W3CDTF">2026-07-20T07:54:56Z</dcterms:modified>
</cp:coreProperties>
</file>